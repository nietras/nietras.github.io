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it\oss\nietras.github.io\images\2025-06-sep-0.11.0\"/>
    </mc:Choice>
  </mc:AlternateContent>
  <xr:revisionPtr revIDLastSave="0" documentId="13_ncr:1_{C793E488-8178-4151-A7CD-E939774D86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P25" i="1"/>
  <c r="P26" i="1"/>
  <c r="P27" i="1"/>
  <c r="I18" i="1"/>
  <c r="I17" i="1"/>
  <c r="I19" i="1"/>
  <c r="I20" i="1"/>
  <c r="J3" i="1"/>
  <c r="J4" i="1"/>
  <c r="J5" i="1"/>
  <c r="J6" i="1"/>
  <c r="J7" i="1"/>
  <c r="J8" i="1"/>
  <c r="J9" i="1"/>
  <c r="J10" i="1"/>
  <c r="J11" i="1"/>
  <c r="J12" i="1"/>
  <c r="J13" i="1"/>
</calcChain>
</file>

<file path=xl/sharedStrings.xml><?xml version="1.0" encoding="utf-8"?>
<sst xmlns="http://schemas.openxmlformats.org/spreadsheetml/2006/main" count="61" uniqueCount="38">
  <si>
    <t>Sep</t>
  </si>
  <si>
    <t>.NET</t>
  </si>
  <si>
    <t>CPU</t>
  </si>
  <si>
    <t>0.1.0</t>
  </si>
  <si>
    <t>0.2.0</t>
  </si>
  <si>
    <t>0.2.1</t>
  </si>
  <si>
    <t>0.3.0</t>
  </si>
  <si>
    <t>0.4.0</t>
  </si>
  <si>
    <t>0.4.1</t>
  </si>
  <si>
    <t>0.5.0</t>
  </si>
  <si>
    <t>0.6.0</t>
  </si>
  <si>
    <t>0.9.0</t>
  </si>
  <si>
    <t>0.10.0</t>
  </si>
  <si>
    <t>Mean  [ms]</t>
  </si>
  <si>
    <t>Rows</t>
  </si>
  <si>
    <t xml:space="preserve"> MB </t>
  </si>
  <si>
    <t>MB/s</t>
  </si>
  <si>
    <t>ns/row</t>
  </si>
  <si>
    <t>Ratio</t>
  </si>
  <si>
    <t xml:space="preserve">Sep 0.1.0, .NET 7.0, 5950X </t>
  </si>
  <si>
    <t xml:space="preserve">Sep 0.2.0, .NET 7.0, 5950X </t>
  </si>
  <si>
    <t xml:space="preserve">Sep 0.2.1, .NET 7.0, 5950X </t>
  </si>
  <si>
    <t xml:space="preserve">Sep 0.3.0, .NET 7.0, 5950X </t>
  </si>
  <si>
    <t xml:space="preserve">Sep 0.3.0, .NET 8.0, 5950X </t>
  </si>
  <si>
    <t xml:space="preserve">Sep 0.4.0, .NET 8.0, 5950X </t>
  </si>
  <si>
    <t xml:space="preserve">Sep 0.4.1, .NET 8.0, 5950X </t>
  </si>
  <si>
    <t xml:space="preserve">Sep 0.5.0, .NET 8.0, 5950X </t>
  </si>
  <si>
    <t xml:space="preserve">Sep 0.6.0, .NET 9.0, 5950X </t>
  </si>
  <si>
    <t xml:space="preserve">Sep 0.9.0, .NET 9.0, 5950X </t>
  </si>
  <si>
    <t xml:space="preserve">Sep 0.9.0, .NET 9.0, 9950X </t>
  </si>
  <si>
    <t>Sep 0.10.0, .NET 9.0, 9950X</t>
  </si>
  <si>
    <t>Versions</t>
  </si>
  <si>
    <t>M1</t>
  </si>
  <si>
    <t>Sep 0.11.0</t>
  </si>
  <si>
    <t>Sep 0.10.0</t>
  </si>
  <si>
    <t>Sylvan 1.4.2</t>
  </si>
  <si>
    <t>CsvHelper 33.1.0</t>
  </si>
  <si>
    <t>Cobalt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</si>
</sst>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CAFDE"/>
      <color rgb="FFC198E0"/>
      <color rgb="FFB48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69752498476178E-2"/>
          <c:y val="3.1430158846042958E-2"/>
          <c:w val="0.87161199067706208"/>
          <c:h val="0.824113201367913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MB/s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927-4577-9AB4-0FCBAA089B2C}"/>
              </c:ext>
            </c:extLst>
          </c:dPt>
          <c:dPt>
            <c:idx val="1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27-4577-9AB4-0FCBAA089B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Sheet1!$D$2:$D$13</c:f>
              <c:strCache>
                <c:ptCount val="12"/>
                <c:pt idx="0">
                  <c:v>Sep 0.1.0, .NET 7.0, 5950X </c:v>
                </c:pt>
                <c:pt idx="1">
                  <c:v>Sep 0.2.0, .NET 7.0, 5950X </c:v>
                </c:pt>
                <c:pt idx="2">
                  <c:v>Sep 0.2.1, .NET 7.0, 5950X </c:v>
                </c:pt>
                <c:pt idx="3">
                  <c:v>Sep 0.3.0, .NET 7.0, 5950X </c:v>
                </c:pt>
                <c:pt idx="4">
                  <c:v>Sep 0.3.0, .NET 8.0, 5950X </c:v>
                </c:pt>
                <c:pt idx="5">
                  <c:v>Sep 0.4.0, .NET 8.0, 5950X </c:v>
                </c:pt>
                <c:pt idx="6">
                  <c:v>Sep 0.4.1, .NET 8.0, 5950X </c:v>
                </c:pt>
                <c:pt idx="7">
                  <c:v>Sep 0.5.0, .NET 8.0, 5950X </c:v>
                </c:pt>
                <c:pt idx="8">
                  <c:v>Sep 0.6.0, .NET 9.0, 5950X </c:v>
                </c:pt>
                <c:pt idx="9">
                  <c:v>Sep 0.9.0, .NET 9.0, 5950X </c:v>
                </c:pt>
                <c:pt idx="10">
                  <c:v>Sep 0.9.0, .NET 9.0, 9950X </c:v>
                </c:pt>
                <c:pt idx="11">
                  <c:v>Sep 0.10.0, .NET 9.0, 9950X</c:v>
                </c:pt>
              </c:strCache>
            </c:strRef>
          </c:cat>
          <c:val>
            <c:numRef>
              <c:f>Sheet1!$H$2:$H$13</c:f>
              <c:numCache>
                <c:formatCode>0</c:formatCode>
                <c:ptCount val="12"/>
                <c:pt idx="0">
                  <c:v>7335.3</c:v>
                </c:pt>
                <c:pt idx="1">
                  <c:v>10191.6</c:v>
                </c:pt>
                <c:pt idx="2">
                  <c:v>11120.2</c:v>
                </c:pt>
                <c:pt idx="3">
                  <c:v>11503.7</c:v>
                </c:pt>
                <c:pt idx="4">
                  <c:v>12111.6</c:v>
                </c:pt>
                <c:pt idx="5">
                  <c:v>12581.3</c:v>
                </c:pt>
                <c:pt idx="6">
                  <c:v>12811.2</c:v>
                </c:pt>
                <c:pt idx="7">
                  <c:v>12544.5</c:v>
                </c:pt>
                <c:pt idx="8">
                  <c:v>13339.9</c:v>
                </c:pt>
                <c:pt idx="9">
                  <c:v>13088.4</c:v>
                </c:pt>
                <c:pt idx="10">
                  <c:v>18202.7</c:v>
                </c:pt>
                <c:pt idx="11">
                  <c:v>21384.9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8-4851-9A7D-1D421F82B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3515696"/>
        <c:axId val="973499376"/>
      </c:barChart>
      <c:lineChart>
        <c:grouping val="standar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Ratio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Sheet1!$D$2:$D$13</c:f>
              <c:strCache>
                <c:ptCount val="12"/>
                <c:pt idx="0">
                  <c:v>Sep 0.1.0, .NET 7.0, 5950X </c:v>
                </c:pt>
                <c:pt idx="1">
                  <c:v>Sep 0.2.0, .NET 7.0, 5950X </c:v>
                </c:pt>
                <c:pt idx="2">
                  <c:v>Sep 0.2.1, .NET 7.0, 5950X </c:v>
                </c:pt>
                <c:pt idx="3">
                  <c:v>Sep 0.3.0, .NET 7.0, 5950X </c:v>
                </c:pt>
                <c:pt idx="4">
                  <c:v>Sep 0.3.0, .NET 8.0, 5950X </c:v>
                </c:pt>
                <c:pt idx="5">
                  <c:v>Sep 0.4.0, .NET 8.0, 5950X </c:v>
                </c:pt>
                <c:pt idx="6">
                  <c:v>Sep 0.4.1, .NET 8.0, 5950X </c:v>
                </c:pt>
                <c:pt idx="7">
                  <c:v>Sep 0.5.0, .NET 8.0, 5950X </c:v>
                </c:pt>
                <c:pt idx="8">
                  <c:v>Sep 0.6.0, .NET 9.0, 5950X </c:v>
                </c:pt>
                <c:pt idx="9">
                  <c:v>Sep 0.9.0, .NET 9.0, 5950X </c:v>
                </c:pt>
                <c:pt idx="10">
                  <c:v>Sep 0.9.0, .NET 9.0, 9950X </c:v>
                </c:pt>
                <c:pt idx="11">
                  <c:v>Sep 0.10.0, .NET 9.0, 9950X</c:v>
                </c:pt>
              </c:strCache>
            </c:strRef>
          </c:cat>
          <c:val>
            <c:numRef>
              <c:f>Sheet1!$J$2:$J$13</c:f>
              <c:numCache>
                <c:formatCode>0.00</c:formatCode>
                <c:ptCount val="12"/>
                <c:pt idx="0">
                  <c:v>1</c:v>
                </c:pt>
                <c:pt idx="1">
                  <c:v>1.389391026951863</c:v>
                </c:pt>
                <c:pt idx="2">
                  <c:v>1.5159843496516845</c:v>
                </c:pt>
                <c:pt idx="3">
                  <c:v>1.5682657832672147</c:v>
                </c:pt>
                <c:pt idx="4">
                  <c:v>1.6511390127193162</c:v>
                </c:pt>
                <c:pt idx="5">
                  <c:v>1.7151718402791978</c:v>
                </c:pt>
                <c:pt idx="6">
                  <c:v>1.746513435033332</c:v>
                </c:pt>
                <c:pt idx="7">
                  <c:v>1.7101550038853217</c:v>
                </c:pt>
                <c:pt idx="8">
                  <c:v>1.8185895600725259</c:v>
                </c:pt>
                <c:pt idx="9">
                  <c:v>1.784303300478508</c:v>
                </c:pt>
                <c:pt idx="10">
                  <c:v>2.4815208648589695</c:v>
                </c:pt>
                <c:pt idx="11">
                  <c:v>2.9153408858533396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8-4851-9A7D-1D421F82B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443600"/>
        <c:axId val="974442640"/>
      </c:lineChart>
      <c:catAx>
        <c:axId val="97351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73499376"/>
        <c:crosses val="autoZero"/>
        <c:auto val="1"/>
        <c:lblAlgn val="ctr"/>
        <c:lblOffset val="100"/>
        <c:noMultiLvlLbl val="0"/>
      </c:catAx>
      <c:valAx>
        <c:axId val="9734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73515696"/>
        <c:crosses val="autoZero"/>
        <c:crossBetween val="between"/>
      </c:valAx>
      <c:valAx>
        <c:axId val="9744426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74443600"/>
        <c:crosses val="max"/>
        <c:crossBetween val="between"/>
      </c:valAx>
      <c:catAx>
        <c:axId val="974443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442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700024893218232E-2"/>
          <c:y val="6.2263744988530059E-2"/>
          <c:w val="0.16734367396867736"/>
          <c:h val="0.11994759484797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tx1">
        <a:lumMod val="85000"/>
        <a:lumOff val="15000"/>
      </a:schemeClr>
    </a:soli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47140080786232E-2"/>
          <c:y val="2.2553766250635515E-2"/>
          <c:w val="0.87940287043705045"/>
          <c:h val="0.87187278965479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Sheet1!$H$16</c:f>
              <c:strCache>
                <c:ptCount val="1"/>
                <c:pt idx="0">
                  <c:v>MB/s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2.3485982459176467E-2"/>
                  <c:y val="-9.66589982170105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20-42EC-A8FC-E367FD3AF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Sheet1!$G$17:$G$20</c:f>
              <c:strCache>
                <c:ptCount val="4"/>
                <c:pt idx="0">
                  <c:v>Sep 0.10.0</c:v>
                </c:pt>
                <c:pt idx="1">
                  <c:v>Sep 0.11.0</c:v>
                </c:pt>
                <c:pt idx="2">
                  <c:v>Sylvan 1.4.2</c:v>
                </c:pt>
                <c:pt idx="3">
                  <c:v>CsvHelper 33.1.0</c:v>
                </c:pt>
              </c:strCache>
            </c:strRef>
          </c:cat>
          <c:val>
            <c:numRef>
              <c:f>Sheet1!$H$17:$H$20</c:f>
              <c:numCache>
                <c:formatCode>0</c:formatCode>
                <c:ptCount val="4"/>
                <c:pt idx="0">
                  <c:v>6971.8</c:v>
                </c:pt>
                <c:pt idx="1">
                  <c:v>9539.7000000000007</c:v>
                </c:pt>
                <c:pt idx="2" formatCode="General">
                  <c:v>1492</c:v>
                </c:pt>
                <c:pt idx="3">
                  <c:v>670.8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0-42EC-A8FC-E367FD3AF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89640399"/>
        <c:axId val="1489638479"/>
      </c:barChart>
      <c:lineChart>
        <c:grouping val="standard"/>
        <c:varyColors val="0"/>
        <c:ser>
          <c:idx val="1"/>
          <c:order val="1"/>
          <c:tx>
            <c:strRef>
              <c:f>Sheet1!$I$16</c:f>
              <c:strCache>
                <c:ptCount val="1"/>
                <c:pt idx="0">
                  <c:v>Ratio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5228973688764806E-2"/>
                  <c:y val="3.866359928680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20-42EC-A8FC-E367FD3AF5BC}"/>
                </c:ext>
              </c:extLst>
            </c:dLbl>
            <c:dLbl>
              <c:idx val="1"/>
              <c:layout>
                <c:manualLayout>
                  <c:x val="-3.9143304098628283E-3"/>
                  <c:y val="1.6109833036168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20-42EC-A8FC-E367FD3AF5BC}"/>
                </c:ext>
              </c:extLst>
            </c:dLbl>
            <c:dLbl>
              <c:idx val="2"/>
              <c:layout>
                <c:manualLayout>
                  <c:x val="-3.131464327890205E-2"/>
                  <c:y val="3.866359928680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20-42EC-A8FC-E367FD3AF5BC}"/>
                </c:ext>
              </c:extLst>
            </c:dLbl>
            <c:dLbl>
              <c:idx val="3"/>
              <c:layout>
                <c:manualLayout>
                  <c:x val="-9.7858260246568921E-3"/>
                  <c:y val="2.2553766250635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20-42EC-A8FC-E367FD3AF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Sheet1!$G$17:$G$20</c:f>
              <c:strCache>
                <c:ptCount val="4"/>
                <c:pt idx="0">
                  <c:v>Sep 0.10.0</c:v>
                </c:pt>
                <c:pt idx="1">
                  <c:v>Sep 0.11.0</c:v>
                </c:pt>
                <c:pt idx="2">
                  <c:v>Sylvan 1.4.2</c:v>
                </c:pt>
                <c:pt idx="3">
                  <c:v>CsvHelper 33.1.0</c:v>
                </c:pt>
              </c:strCache>
            </c:strRef>
          </c:cat>
          <c:val>
            <c:numRef>
              <c:f>Sheet1!$I$17:$I$20</c:f>
              <c:numCache>
                <c:formatCode>0.00</c:formatCode>
                <c:ptCount val="4"/>
                <c:pt idx="0">
                  <c:v>10.393261776982708</c:v>
                </c:pt>
                <c:pt idx="1">
                  <c:v>14.221377459749554</c:v>
                </c:pt>
                <c:pt idx="2">
                  <c:v>2.2242098986285033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0-42EC-A8FC-E367FD3AF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658991"/>
        <c:axId val="1369653231"/>
      </c:lineChart>
      <c:catAx>
        <c:axId val="148964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9638479"/>
        <c:crosses val="autoZero"/>
        <c:auto val="1"/>
        <c:lblAlgn val="ctr"/>
        <c:lblOffset val="100"/>
        <c:noMultiLvlLbl val="0"/>
      </c:catAx>
      <c:valAx>
        <c:axId val="14896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9640399"/>
        <c:crosses val="autoZero"/>
        <c:crossBetween val="between"/>
      </c:valAx>
      <c:valAx>
        <c:axId val="1369653231"/>
        <c:scaling>
          <c:orientation val="minMax"/>
          <c:max val="18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69658991"/>
        <c:crosses val="max"/>
        <c:crossBetween val="between"/>
        <c:majorUnit val="2"/>
      </c:valAx>
      <c:catAx>
        <c:axId val="1369658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9653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tx1">
        <a:lumMod val="85000"/>
        <a:lumOff val="15000"/>
      </a:schemeClr>
    </a:soli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220465</xdr:colOff>
      <xdr:row>1</xdr:row>
      <xdr:rowOff>6394</xdr:rowOff>
    </xdr:from>
    <xdr:to>
      <xdr:col>20</xdr:col>
      <xdr:colOff>204932</xdr:colOff>
      <xdr:row>20</xdr:row>
      <xdr:rowOff>65287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60280-E58C-B6DA-EC09-A2A64346C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103707</xdr:colOff>
      <xdr:row>22</xdr:row>
      <xdr:rowOff>146101</xdr:rowOff>
    </xdr:from>
    <xdr:to>
      <xdr:col>12</xdr:col>
      <xdr:colOff>270699</xdr:colOff>
      <xdr:row>44</xdr:row>
      <xdr:rowOff>81690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60AA3D-10F7-D370-255B-D6FCA817E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74707</xdr:colOff>
      <xdr:row>22</xdr:row>
      <xdr:rowOff>149412</xdr:rowOff>
    </xdr:from>
    <xdr:to>
      <xdr:col>12</xdr:col>
      <xdr:colOff>38205</xdr:colOff>
      <xdr:row>31</xdr:row>
      <xdr:rowOff>93382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FB07A33D-4DC3-44EF-27B8-B2EE780F9A4B}"/>
            </a:ext>
          </a:extLst>
        </xdr:cNvPr>
        <xdr:cNvSpPr txBox="1"/>
      </xdr:nvSpPr>
      <xdr:spPr>
        <a:xfrm>
          <a:off x="3557869" y="4155515"/>
          <a:ext cx="3208535" cy="1582831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3600" kern="1200">
              <a:solidFill>
                <a:srgbClr val="C198E0"/>
              </a:solidFill>
            </a:rPr>
            <a:t>Sep</a:t>
          </a:r>
        </a:p>
        <a:p>
          <a:pPr algn="ctr"/>
          <a:r>
            <a:rPr lang="en-US" sz="1400" kern="1200">
              <a:solidFill>
                <a:srgbClr val="C198E0"/>
              </a:solidFill>
            </a:rPr>
            <a:t>World's Fastest .NET CSV</a:t>
          </a:r>
          <a:r>
            <a:rPr lang="en-US" sz="1400" kern="1200" baseline="0">
              <a:solidFill>
                <a:srgbClr val="C198E0"/>
              </a:solidFill>
            </a:rPr>
            <a:t> Parser</a:t>
          </a:r>
        </a:p>
        <a:p>
          <a:pPr algn="ctr"/>
          <a:r>
            <a:rPr lang="en-US" sz="2000" kern="1200" baseline="0">
              <a:solidFill>
                <a:srgbClr val="C198E0"/>
              </a:solidFill>
            </a:rPr>
            <a:t>Performance on </a:t>
          </a:r>
          <a:r>
            <a:rPr lang="en-US" sz="2000" u="sng" kern="1200" baseline="0">
              <a:solidFill>
                <a:srgbClr val="C198E0"/>
              </a:solidFill>
            </a:rPr>
            <a:t>Apple M1</a:t>
          </a:r>
        </a:p>
        <a:p>
          <a:pPr algn="ctr"/>
          <a:r>
            <a:rPr lang="en-US" sz="2000" kern="1200" baseline="0">
              <a:solidFill>
                <a:srgbClr val="C198E0"/>
              </a:solidFill>
            </a:rPr>
            <a:t>Progression and Comparison</a:t>
          </a:r>
          <a:endParaRPr lang="en-DK" sz="1100" kern="1200">
            <a:solidFill>
              <a:srgbClr val="C198E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0.7828</cdr:x>
      <cdr:y>0</cdr:y>
    </cdr:from>
    <cdr:to>
      <cdr:x>0.78499</cdr:x>
      <cdr:y>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DA92422-2B5F-8441-9152-04C287BCECF4}"/>
            </a:ext>
          </a:extLst>
        </cdr:cNvPr>
        <cdr:cNvCxnSpPr/>
      </cdr:nvCxnSpPr>
      <cdr:spPr>
        <a:xfrm xmlns:a="http://schemas.openxmlformats.org/drawingml/2006/main" flipH="1">
          <a:off x="5559700" y="0"/>
          <a:ext cx="15530" cy="4949895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FFFF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0.29446</cdr:x>
      <cdr:y>0.02196</cdr:y>
    </cdr:from>
    <cdr:to>
      <cdr:x>0.7121</cdr:x>
      <cdr:y>0.34616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858AA7-EB79-0A01-540A-6CCBAFA5FEC8}"/>
            </a:ext>
          </a:extLst>
        </cdr:cNvPr>
        <cdr:cNvSpPr txBox="1"/>
      </cdr:nvSpPr>
      <cdr:spPr>
        <a:xfrm xmlns:a="http://schemas.openxmlformats.org/drawingml/2006/main">
          <a:off x="2091354" y="108699"/>
          <a:ext cx="2966219" cy="1604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3600" kern="1200">
              <a:solidFill>
                <a:srgbClr val="C198E0"/>
              </a:solidFill>
            </a:rPr>
            <a:t>Sep</a:t>
          </a:r>
        </a:p>
        <a:p xmlns:a="http://schemas.openxmlformats.org/drawingml/2006/main">
          <a:pPr algn="ctr"/>
          <a:r>
            <a:rPr lang="en-US" sz="1400" kern="1200">
              <a:solidFill>
                <a:srgbClr val="C198E0"/>
              </a:solidFill>
            </a:rPr>
            <a:t>World's Fastest .NET CSV</a:t>
          </a:r>
          <a:r>
            <a:rPr lang="en-US" sz="1400" kern="1200" baseline="0">
              <a:solidFill>
                <a:srgbClr val="C198E0"/>
              </a:solidFill>
            </a:rPr>
            <a:t> Parser</a:t>
          </a:r>
        </a:p>
        <a:p xmlns:a="http://schemas.openxmlformats.org/drawingml/2006/main">
          <a:pPr algn="ctr"/>
          <a:r>
            <a:rPr lang="en-US" sz="2000" kern="1200" baseline="0">
              <a:solidFill>
                <a:srgbClr val="C198E0"/>
              </a:solidFill>
            </a:rPr>
            <a:t>Performance on Apple M1</a:t>
          </a:r>
        </a:p>
        <a:p xmlns:a="http://schemas.openxmlformats.org/drawingml/2006/main">
          <a:pPr algn="ctr"/>
          <a:r>
            <a:rPr lang="en-US" sz="2000" kern="1200" baseline="0">
              <a:solidFill>
                <a:srgbClr val="C198E0"/>
              </a:solidFill>
            </a:rPr>
            <a:t>Progression and Comparison</a:t>
          </a:r>
          <a:endParaRPr lang="en-DK" sz="1100" kern="1200">
            <a:solidFill>
              <a:srgbClr val="C198E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0.7453</cdr:x>
      <cdr:y>0.50546</cdr:y>
    </cdr:from>
    <cdr:to>
      <cdr:x>0.88621</cdr:x>
      <cdr:y>0.73744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B48BE8-1A77-D246-FE5E-9B736EE9FD02}"/>
            </a:ext>
          </a:extLst>
        </cdr:cNvPr>
        <cdr:cNvSpPr txBox="1"/>
      </cdr:nvSpPr>
      <cdr:spPr>
        <a:xfrm xmlns:a="http://schemas.openxmlformats.org/drawingml/2006/main">
          <a:off x="4836219" y="199235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DK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topLeftCell="A16" zoomScale="102" workbookViewId="0">
      <selection activeCell="N29" sqref="N29"/>
    </sheetView>
  </sheetViews>
  <sheetFormatPr defaultRowHeight="14.25" x14ac:dyDescent="0.45"/>
  <cols>
    <col min="1" max="1" width="5.6640625" bestFit="1" customWidth="1"/>
    <col min="2" max="2" width="4.33203125" bestFit="1" customWidth="1"/>
    <col min="3" max="3" width="5.73046875" bestFit="1" customWidth="1"/>
    <col min="4" max="4" width="5.730468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31</v>
      </c>
      <c r="E1" t="s">
        <v>14</v>
      </c>
      <c r="F1" t="s">
        <v>13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45">
      <c r="A2" s="1" t="s">
        <v>3</v>
      </c>
      <c r="B2" s="2">
        <v>7</v>
      </c>
      <c r="C2" t="s">
        <v>32</v>
      </c>
      <c r="D2" t="s">
        <v>19</v>
      </c>
      <c r="E2">
        <v>1000000</v>
      </c>
      <c r="F2" s="3">
        <v>79.59</v>
      </c>
      <c r="G2">
        <v>583</v>
      </c>
      <c r="H2" s="5">
        <v>7335.3</v>
      </c>
      <c r="I2">
        <v>79.599999999999994</v>
      </c>
      <c r="J2" s="4">
        <v>1</v>
      </c>
    </row>
    <row r="3" spans="1:10" x14ac:dyDescent="0.45">
      <c r="A3" s="1" t="s">
        <v>4</v>
      </c>
      <c r="B3" s="2">
        <v>7</v>
      </c>
      <c r="C3" t="s">
        <v>32</v>
      </c>
      <c r="D3" t="s">
        <v>20</v>
      </c>
      <c r="E3">
        <v>1000000</v>
      </c>
      <c r="F3" s="3">
        <v>57.28</v>
      </c>
      <c r="G3">
        <v>583</v>
      </c>
      <c r="H3" s="5">
        <v>10191.6</v>
      </c>
      <c r="I3">
        <v>57.3</v>
      </c>
      <c r="J3" s="4">
        <f>H3/H$2</f>
        <v>1.389391026951863</v>
      </c>
    </row>
    <row r="4" spans="1:10" x14ac:dyDescent="0.45">
      <c r="A4" s="1" t="s">
        <v>5</v>
      </c>
      <c r="B4" s="2">
        <v>7</v>
      </c>
      <c r="C4" t="s">
        <v>32</v>
      </c>
      <c r="D4" t="s">
        <v>21</v>
      </c>
      <c r="E4">
        <v>50000</v>
      </c>
      <c r="F4" s="3">
        <v>2.6240000000000001</v>
      </c>
      <c r="G4">
        <v>29</v>
      </c>
      <c r="H4" s="5">
        <v>11120.2</v>
      </c>
      <c r="I4">
        <v>52.5</v>
      </c>
      <c r="J4" s="4">
        <f>H4/H$2</f>
        <v>1.5159843496516845</v>
      </c>
    </row>
    <row r="5" spans="1:10" x14ac:dyDescent="0.45">
      <c r="A5" s="1" t="s">
        <v>6</v>
      </c>
      <c r="B5" s="2">
        <v>7</v>
      </c>
      <c r="C5" t="s">
        <v>32</v>
      </c>
      <c r="D5" t="s">
        <v>22</v>
      </c>
      <c r="E5">
        <v>50000</v>
      </c>
      <c r="F5" s="3">
        <v>2.5369999999999999</v>
      </c>
      <c r="G5">
        <v>29</v>
      </c>
      <c r="H5" s="5">
        <v>11503.7</v>
      </c>
      <c r="I5">
        <v>50.7</v>
      </c>
      <c r="J5" s="4">
        <f t="shared" ref="J5:J13" si="0">H5/H$2</f>
        <v>1.5682657832672147</v>
      </c>
    </row>
    <row r="6" spans="1:10" x14ac:dyDescent="0.45">
      <c r="A6" s="1" t="s">
        <v>6</v>
      </c>
      <c r="B6" s="2">
        <v>8</v>
      </c>
      <c r="C6" t="s">
        <v>32</v>
      </c>
      <c r="D6" t="s">
        <v>23</v>
      </c>
      <c r="E6">
        <v>50000</v>
      </c>
      <c r="F6" s="3">
        <v>2.4089999999999998</v>
      </c>
      <c r="G6">
        <v>29</v>
      </c>
      <c r="H6" s="5">
        <v>12111.6</v>
      </c>
      <c r="I6">
        <v>48.2</v>
      </c>
      <c r="J6" s="4">
        <f t="shared" si="0"/>
        <v>1.6511390127193162</v>
      </c>
    </row>
    <row r="7" spans="1:10" x14ac:dyDescent="0.45">
      <c r="A7" s="1" t="s">
        <v>7</v>
      </c>
      <c r="B7" s="2">
        <v>8</v>
      </c>
      <c r="C7" t="s">
        <v>32</v>
      </c>
      <c r="D7" t="s">
        <v>24</v>
      </c>
      <c r="E7">
        <v>50000</v>
      </c>
      <c r="F7" s="3">
        <v>2.319</v>
      </c>
      <c r="G7">
        <v>29</v>
      </c>
      <c r="H7" s="5">
        <v>12581.3</v>
      </c>
      <c r="I7">
        <v>46.4</v>
      </c>
      <c r="J7" s="4">
        <f t="shared" si="0"/>
        <v>1.7151718402791978</v>
      </c>
    </row>
    <row r="8" spans="1:10" x14ac:dyDescent="0.45">
      <c r="A8" s="1" t="s">
        <v>8</v>
      </c>
      <c r="B8" s="2">
        <v>8</v>
      </c>
      <c r="C8" t="s">
        <v>32</v>
      </c>
      <c r="D8" t="s">
        <v>25</v>
      </c>
      <c r="E8">
        <v>50000</v>
      </c>
      <c r="F8" s="3">
        <v>2.278</v>
      </c>
      <c r="G8">
        <v>29</v>
      </c>
      <c r="H8" s="5">
        <v>12811.2</v>
      </c>
      <c r="I8">
        <v>45.6</v>
      </c>
      <c r="J8" s="4">
        <f t="shared" si="0"/>
        <v>1.746513435033332</v>
      </c>
    </row>
    <row r="9" spans="1:10" x14ac:dyDescent="0.45">
      <c r="A9" s="1" t="s">
        <v>9</v>
      </c>
      <c r="B9" s="2">
        <v>8</v>
      </c>
      <c r="C9" t="s">
        <v>32</v>
      </c>
      <c r="D9" t="s">
        <v>26</v>
      </c>
      <c r="E9">
        <v>50000</v>
      </c>
      <c r="F9" s="3">
        <v>2.3260000000000001</v>
      </c>
      <c r="G9">
        <v>29</v>
      </c>
      <c r="H9" s="5">
        <v>12544.5</v>
      </c>
      <c r="I9">
        <v>46.5</v>
      </c>
      <c r="J9" s="4">
        <f t="shared" si="0"/>
        <v>1.7101550038853217</v>
      </c>
    </row>
    <row r="10" spans="1:10" x14ac:dyDescent="0.45">
      <c r="A10" s="1" t="s">
        <v>10</v>
      </c>
      <c r="B10" s="2">
        <v>9</v>
      </c>
      <c r="C10" t="s">
        <v>32</v>
      </c>
      <c r="D10" t="s">
        <v>27</v>
      </c>
      <c r="E10">
        <v>50000</v>
      </c>
      <c r="F10" s="3">
        <v>2.1880000000000002</v>
      </c>
      <c r="G10">
        <v>29</v>
      </c>
      <c r="H10" s="5">
        <v>13339.9</v>
      </c>
      <c r="I10">
        <v>43.8</v>
      </c>
      <c r="J10" s="4">
        <f t="shared" si="0"/>
        <v>1.8185895600725259</v>
      </c>
    </row>
    <row r="11" spans="1:10" x14ac:dyDescent="0.45">
      <c r="A11" s="1" t="s">
        <v>11</v>
      </c>
      <c r="B11" s="2">
        <v>9</v>
      </c>
      <c r="C11" t="s">
        <v>32</v>
      </c>
      <c r="D11" t="s">
        <v>28</v>
      </c>
      <c r="E11">
        <v>50000</v>
      </c>
      <c r="F11" s="3">
        <v>2.23</v>
      </c>
      <c r="G11">
        <v>29</v>
      </c>
      <c r="H11" s="5">
        <v>13088.4</v>
      </c>
      <c r="I11">
        <v>44.6</v>
      </c>
      <c r="J11" s="4">
        <f t="shared" si="0"/>
        <v>1.784303300478508</v>
      </c>
    </row>
    <row r="12" spans="1:10" x14ac:dyDescent="0.45">
      <c r="A12" s="1" t="s">
        <v>11</v>
      </c>
      <c r="B12" s="2">
        <v>9</v>
      </c>
      <c r="C12" t="s">
        <v>32</v>
      </c>
      <c r="D12" t="s">
        <v>29</v>
      </c>
      <c r="E12">
        <v>50000</v>
      </c>
      <c r="F12" s="3">
        <v>1.603</v>
      </c>
      <c r="G12">
        <v>29</v>
      </c>
      <c r="H12" s="5">
        <v>18202.7</v>
      </c>
      <c r="I12">
        <v>32.1</v>
      </c>
      <c r="J12" s="4">
        <f t="shared" si="0"/>
        <v>2.4815208648589695</v>
      </c>
    </row>
    <row r="13" spans="1:10" x14ac:dyDescent="0.45">
      <c r="A13" s="1" t="s">
        <v>12</v>
      </c>
      <c r="B13" s="2">
        <v>9</v>
      </c>
      <c r="C13" t="s">
        <v>32</v>
      </c>
      <c r="D13" t="s">
        <v>30</v>
      </c>
      <c r="E13">
        <v>50000</v>
      </c>
      <c r="F13" s="3">
        <v>1.365</v>
      </c>
      <c r="G13">
        <v>29</v>
      </c>
      <c r="H13" s="5">
        <v>21384.9</v>
      </c>
      <c r="I13">
        <v>27.3</v>
      </c>
      <c r="J13" s="4">
        <f t="shared" si="0"/>
        <v>2.9153408858533396</v>
      </c>
    </row>
    <row r="16" spans="1:10" x14ac:dyDescent="0.45">
      <c r="G16" t="s">
        <v>31</v>
      </c>
      <c r="H16" t="s">
        <v>16</v>
      </c>
      <c r="I16" t="s">
        <v>18</v>
      </c>
    </row>
    <row r="17" spans="7:16" x14ac:dyDescent="0.45">
      <c r="G17" t="s">
        <v>34</v>
      </c>
      <c r="H17" s="5">
        <v>6971.8</v>
      </c>
      <c r="I17" s="4">
        <f>H17/H$20</f>
        <v>10.393261776982708</v>
      </c>
    </row>
    <row r="18" spans="7:16" x14ac:dyDescent="0.45">
      <c r="G18" t="s">
        <v>33</v>
      </c>
      <c r="H18" s="5">
        <v>9539.7000000000007</v>
      </c>
      <c r="I18" s="4">
        <f>H18/H$20</f>
        <v>14.221377459749554</v>
      </c>
    </row>
    <row r="19" spans="7:16" x14ac:dyDescent="0.45">
      <c r="G19" t="s">
        <v>35</v>
      </c>
      <c r="H19">
        <v>1492</v>
      </c>
      <c r="I19" s="4">
        <f>H19/H$20</f>
        <v>2.2242098986285033</v>
      </c>
    </row>
    <row r="20" spans="7:16" x14ac:dyDescent="0.45">
      <c r="G20" t="s">
        <v>36</v>
      </c>
      <c r="H20" s="5">
        <v>670.8</v>
      </c>
      <c r="I20" s="4">
        <f>1</f>
        <v>1</v>
      </c>
    </row>
    <row r="22" spans="7:16" x14ac:dyDescent="0.45">
      <c r="N22" t="s">
        <v>37</v>
      </c>
    </row>
    <row r="23" spans="7:16" x14ac:dyDescent="0.45">
      <c r="N23" t="s">
        <v>31</v>
      </c>
      <c r="O23" t="s">
        <v>16</v>
      </c>
      <c r="P23" t="s">
        <v>18</v>
      </c>
    </row>
    <row r="24" spans="7:16" x14ac:dyDescent="0.45">
      <c r="N24" t="s">
        <v>34</v>
      </c>
      <c r="O24" s="5">
        <v>3935</v>
      </c>
      <c r="P24" s="4">
        <f>O24/O$27</f>
        <v>7.0646319569120291</v>
      </c>
    </row>
    <row r="25" spans="7:16" x14ac:dyDescent="0.45">
      <c r="N25" t="s">
        <v>33</v>
      </c>
      <c r="O25" s="5">
        <v>6117</v>
      </c>
      <c r="P25" s="4">
        <f>O25/O$27</f>
        <v>10.982046678635548</v>
      </c>
    </row>
    <row r="26" spans="7:16" x14ac:dyDescent="0.45">
      <c r="N26" t="s">
        <v>35</v>
      </c>
      <c r="O26">
        <v>1461</v>
      </c>
      <c r="P26" s="4">
        <f>O26/O$27</f>
        <v>2.6229802513464993</v>
      </c>
    </row>
    <row r="27" spans="7:16" x14ac:dyDescent="0.45">
      <c r="N27" t="s">
        <v>36</v>
      </c>
      <c r="O27" s="5">
        <v>557</v>
      </c>
      <c r="P27" s="4">
        <f>1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 Tjørnly Rasmussen</cp:lastModifiedBy>
  <dcterms:created xsi:type="dcterms:W3CDTF">2015-06-05T18:17:20Z</dcterms:created>
  <dcterms:modified xsi:type="dcterms:W3CDTF">2025-06-15T16:39:27Z</dcterms:modified>
</cp:coreProperties>
</file>